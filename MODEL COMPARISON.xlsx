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8B5ACAAB-DA6E-CF4E-82AA-7AD006F5423D}" xr6:coauthVersionLast="47" xr6:coauthVersionMax="47" xr10:uidLastSave="{00000000-0000-0000-0000-000000000000}"/>
  <bookViews>
    <workbookView xWindow="18680" yWindow="500" windowWidth="28040" windowHeight="17440" xr2:uid="{74D01E0A-7520-A042-8F88-0097F42C623A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2" l="1"/>
  <c r="D27" i="2"/>
  <c r="E27" i="2"/>
  <c r="F27" i="2"/>
  <c r="G27" i="2"/>
  <c r="H27" i="2"/>
  <c r="I27" i="2"/>
  <c r="J27" i="2"/>
  <c r="K27" i="2"/>
  <c r="L27" i="2"/>
  <c r="M27" i="2"/>
  <c r="N27" i="2"/>
  <c r="B27" i="2"/>
</calcChain>
</file>

<file path=xl/sharedStrings.xml><?xml version="1.0" encoding="utf-8"?>
<sst xmlns="http://schemas.openxmlformats.org/spreadsheetml/2006/main" count="123" uniqueCount="54">
  <si>
    <t>Ljung-Box p-value</t>
  </si>
  <si>
    <t>White Noise Conclusion</t>
  </si>
  <si>
    <t>ADF Statistic</t>
  </si>
  <si>
    <t>ADF p-value</t>
  </si>
  <si>
    <t>Stationarity Conclusion</t>
  </si>
  <si>
    <t>APAC_AI</t>
  </si>
  <si>
    <t>White Noise</t>
  </si>
  <si>
    <t>Stationary</t>
  </si>
  <si>
    <t>Africa_Data_Center</t>
  </si>
  <si>
    <t>Africa_OEM</t>
  </si>
  <si>
    <t>APAC_Data_Center</t>
  </si>
  <si>
    <t>APAC_OEM</t>
  </si>
  <si>
    <t>APAC_Gaming</t>
  </si>
  <si>
    <t>Europe_Data_Center</t>
  </si>
  <si>
    <t>Europe_AI</t>
  </si>
  <si>
    <t>Africa_AI</t>
  </si>
  <si>
    <t>Africa_Gaming</t>
  </si>
  <si>
    <t>Middle_East_Data_Center</t>
  </si>
  <si>
    <t>Europe_OEM</t>
  </si>
  <si>
    <t>Europe_Gaming</t>
  </si>
  <si>
    <t>North_America_AI</t>
  </si>
  <si>
    <t>Middle_East_Gaming</t>
  </si>
  <si>
    <t>Middle_East_AI</t>
  </si>
  <si>
    <t>Middle_East_OEM</t>
  </si>
  <si>
    <t>Not White Noise</t>
  </si>
  <si>
    <t>North_America_Gaming</t>
  </si>
  <si>
    <t>North_America_Data_Center</t>
  </si>
  <si>
    <t>North_America_OEM</t>
  </si>
  <si>
    <t>South_America_Data_Center</t>
  </si>
  <si>
    <t>South_America_OEM</t>
  </si>
  <si>
    <t>South_America_Gaming</t>
  </si>
  <si>
    <t>South_America_AI</t>
  </si>
  <si>
    <t>Region-Category</t>
  </si>
  <si>
    <t>MAE</t>
  </si>
  <si>
    <t>RMSE</t>
  </si>
  <si>
    <t>MAPE</t>
  </si>
  <si>
    <t>ARIMA MAE</t>
  </si>
  <si>
    <t>ARIMA RMSE</t>
  </si>
  <si>
    <t>ARIMA MAPE</t>
  </si>
  <si>
    <t>ARIMAX MAE</t>
  </si>
  <si>
    <t>ARIMAX RMSE</t>
  </si>
  <si>
    <t>ARIMAX MAPE</t>
  </si>
  <si>
    <t>ARIMA AIC</t>
  </si>
  <si>
    <t>ARIMA BIC</t>
  </si>
  <si>
    <t>ARIMAX AIC</t>
  </si>
  <si>
    <t>ARIMAX BIC</t>
  </si>
  <si>
    <t>Region - Category</t>
  </si>
  <si>
    <t>XGBOOST</t>
  </si>
  <si>
    <t>ARIMA</t>
  </si>
  <si>
    <t>ARIMAX</t>
  </si>
  <si>
    <t>Most Accurate</t>
  </si>
  <si>
    <t>Least Accurate</t>
  </si>
  <si>
    <t>Legend - Per Statistic per Model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</si>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</sst>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6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7" fillId="0" borderId="0" xfId="0" applyFont="1"/>
    <xf numFmtId="0" fontId="6" fillId="0" borderId="2" xfId="0" applyFont="1" applyBorder="1"/>
    <xf numFmtId="0" fontId="1" fillId="0" borderId="2" xfId="0" applyFont="1" applyBorder="1"/>
    <xf numFmtId="0" fontId="5" fillId="0" borderId="2" xfId="0" applyFont="1" applyBorder="1"/>
    <xf numFmtId="0" fontId="1" fillId="0" borderId="7" xfId="0" applyFont="1" applyBorder="1"/>
    <xf numFmtId="11" fontId="1" fillId="0" borderId="2" xfId="0" applyNumberFormat="1" applyFont="1" applyBorder="1"/>
    <xf numFmtId="0" fontId="1" fillId="0" borderId="9" xfId="0" applyFont="1" applyBorder="1"/>
    <xf numFmtId="0" fontId="1" fillId="0" borderId="10" xfId="0" applyFont="1" applyBorder="1"/>
    <xf numFmtId="0" fontId="5" fillId="0" borderId="6" xfId="0" applyFont="1" applyBorder="1"/>
    <xf numFmtId="0" fontId="5" fillId="0" borderId="8" xfId="0" applyFont="1" applyBorder="1"/>
    <xf numFmtId="0" fontId="8" fillId="4" borderId="3" xfId="0" applyFont="1" applyFill="1" applyBorder="1"/>
    <xf numFmtId="0" fontId="8" fillId="4" borderId="4" xfId="0" applyFont="1" applyFill="1" applyBorder="1"/>
    <xf numFmtId="0" fontId="8" fillId="4" borderId="5" xfId="0" applyFont="1" applyFill="1" applyBorder="1"/>
  </cellXfs>
  <cellStyles count="1">
    <cellStyle name="Normal" xfId="0" builtinId="0"/>
  </cellStyles>
  <dxfs count="27">
    <dxf>
      <font>
        <strike val="0"/>
        <outline val="0"/>
        <shadow val="0"/>
        <u val="none"/>
        <vertAlign val="baseline"/>
        <sz val="16"/>
        <color theme="0"/>
        <name val="Times New Roman"/>
        <family val="1"/>
        <scheme val="none"/>
      </font>
      <fill>
        <patternFill patternType="solid">
          <fgColor indexed="64"/>
          <bgColor theme="7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21</xdr:row>
      <xdr:rowOff>0</xdr:rowOff>
    </xdr:from>
    <xdr:to>
      <xdr:col>17</xdr:col>
      <xdr:colOff>342900</xdr:colOff>
      <xdr:row>39</xdr:row>
      <xdr:rowOff>198037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B3726A-CECF-CE87-B9EE-58DEEFEA6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85800" y="5080000"/>
          <a:ext cx="7772400" cy="40080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11</xdr:col>
      <xdr:colOff>1295400</xdr:colOff>
      <xdr:row>49</xdr:row>
      <xdr:rowOff>65224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C17798-C3C0-F1D3-0328-68DE73AE0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13700" y="8013700"/>
          <a:ext cx="7772400" cy="311322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780DA9-E31F-DB49-B82F-4E9C526E740C}" name="Table1" displayName="Table1" ref="A1:F25" totalsRowShown="0" headerRowDxfId="0" dataDxfId="26" headerRowBorderDxfId="8" tableBorderDxfId="9" totalsRowBorderDxfId="7">
  <autoFilter ref="A1:F25" xr:uid="{08780DA9-E31F-DB49-B82F-4E9C526E740C}"/>
  <tableColumns count="6">
    <tableColumn id="1" xr3:uid="{E2CF0C80-FBA2-ED40-85AB-478B45CBF4BD}" name="Region-Category" dataDxfId="1"/>
    <tableColumn id="2" xr3:uid="{BC2D9748-C8F6-074A-8E13-2A81867FC2D8}" name="Ljung-Box p-value" dataDxfId="2"/>
    <tableColumn id="3" xr3:uid="{187C2F19-1432-7C40-B42F-EA7CC51F4DD8}" name="White Noise Conclusion" dataDxfId="6"/>
    <tableColumn id="4" xr3:uid="{A18A1B7F-A4F0-AD45-BCAB-FBC02B9A4484}" name="ADF Statistic" dataDxfId="5"/>
    <tableColumn id="5" xr3:uid="{6DEBD739-7F00-524F-954F-F02610F07723}" name="ADF p-value" dataDxfId="4"/>
    <tableColumn id="6" xr3:uid="{96FCBC3C-A7D7-1A4A-ACCC-CB1C3B435387}" name="Stationarity Conclusion" dataDxfId="3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A47144-8D80-D149-B676-BAC9F303A645}" name="Table2" displayName="Table2" ref="A2:N27" totalsRowShown="0" headerRowDxfId="25" dataDxfId="14">
  <autoFilter ref="A2:N27" xr:uid="{75A47144-8D80-D149-B676-BAC9F303A645}"/>
  <tableColumns count="14">
    <tableColumn id="1" xr3:uid="{DDA6C985-D290-814C-91C2-81FE18687055}" name="Region - Category" dataDxfId="10"/>
    <tableColumn id="2" xr3:uid="{76115DA2-D63C-E343-AFF1-EA8DCEB19845}" name="MAE" dataDxfId="11"/>
    <tableColumn id="3" xr3:uid="{065136B1-9550-644E-A0EC-41A9B6A1F065}" name="RMSE" dataDxfId="24"/>
    <tableColumn id="4" xr3:uid="{106ECE5D-FB3D-EE49-8861-01C84788D1CF}" name="MAPE" dataDxfId="23"/>
    <tableColumn id="5" xr3:uid="{DBD1BEB8-C0D6-4446-A6B3-3CC9A6E5FED8}" name="ARIMA MAE" dataDxfId="22"/>
    <tableColumn id="6" xr3:uid="{62D42EE3-8540-4B41-B6C2-B853928F49DD}" name="ARIMA RMSE" dataDxfId="21"/>
    <tableColumn id="11" xr3:uid="{6CB2453E-A450-884A-9574-698382A6E9D0}" name="ARIMA AIC" dataDxfId="13"/>
    <tableColumn id="12" xr3:uid="{24F9CD6F-0F9F-A347-9E08-BCFA4CE3B68B}" name="ARIMA BIC" dataDxfId="12"/>
    <tableColumn id="7" xr3:uid="{75DE728F-6066-E542-8696-39A4BD4F5D15}" name="ARIMA MAPE" dataDxfId="20"/>
    <tableColumn id="8" xr3:uid="{315E3E6B-7596-E14A-974C-F3AF280C4AA1}" name="ARIMAX MAE" dataDxfId="19"/>
    <tableColumn id="9" xr3:uid="{586AA79A-2E5C-984F-8F09-7D5A1FC52AD3}" name="ARIMAX RMSE" dataDxfId="18"/>
    <tableColumn id="10" xr3:uid="{8CB82E05-599A-3D4C-A6DC-99AFF917F166}" name="ARIMAX MAPE" dataDxfId="17"/>
    <tableColumn id="13" xr3:uid="{4D8F22CB-EA6D-6F43-958C-822A6ACE0BE6}" name="ARIMAX AIC" dataDxfId="16"/>
    <tableColumn id="14" xr3:uid="{0771D9A6-184E-4449-9A50-2F15D2510475}" name="ARIMAX BIC" dataDxfId="15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98960-7E23-C84A-A10C-691D693D1B46}">
  <dimension ref="A1:F25"/>
  <sheetViews>
    <sheetView tabSelected="1" workbookViewId="0">
      <selection activeCell="I22" sqref="I22"/>
    </sheetView>
  </sheetViews>
  <sheetFormatPr baseColWidth="10" defaultRowHeight="16" x14ac:dyDescent="0.2"/>
  <cols>
    <col min="1" max="1" width="29.33203125" bestFit="1" customWidth="1"/>
    <col min="2" max="2" width="25.33203125" bestFit="1" customWidth="1"/>
    <col min="3" max="3" width="31.1640625" bestFit="1" customWidth="1"/>
    <col min="4" max="4" width="19" bestFit="1" customWidth="1"/>
    <col min="5" max="5" width="18.33203125" bestFit="1" customWidth="1"/>
    <col min="6" max="6" width="30.83203125" bestFit="1" customWidth="1"/>
  </cols>
  <sheetData>
    <row r="1" spans="1:6" ht="20" x14ac:dyDescent="0.2">
      <c r="A1" s="15" t="s">
        <v>32</v>
      </c>
      <c r="B1" s="16" t="s">
        <v>0</v>
      </c>
      <c r="C1" s="16" t="s">
        <v>1</v>
      </c>
      <c r="D1" s="16" t="s">
        <v>2</v>
      </c>
      <c r="E1" s="16" t="s">
        <v>3</v>
      </c>
      <c r="F1" s="17" t="s">
        <v>4</v>
      </c>
    </row>
    <row r="2" spans="1:6" ht="19" x14ac:dyDescent="0.25">
      <c r="A2" s="13" t="s">
        <v>5</v>
      </c>
      <c r="B2" s="7">
        <v>0.105564520194905</v>
      </c>
      <c r="C2" s="7" t="s">
        <v>6</v>
      </c>
      <c r="D2" s="7">
        <v>-24.304962261941299</v>
      </c>
      <c r="E2" s="7">
        <v>0</v>
      </c>
      <c r="F2" s="9" t="s">
        <v>7</v>
      </c>
    </row>
    <row r="3" spans="1:6" ht="19" x14ac:dyDescent="0.25">
      <c r="A3" s="13" t="s">
        <v>8</v>
      </c>
      <c r="B3" s="7">
        <v>0.67638128849552903</v>
      </c>
      <c r="C3" s="7" t="s">
        <v>6</v>
      </c>
      <c r="D3" s="7">
        <v>-40.477066652908498</v>
      </c>
      <c r="E3" s="7">
        <v>0</v>
      </c>
      <c r="F3" s="9" t="s">
        <v>7</v>
      </c>
    </row>
    <row r="4" spans="1:6" ht="19" x14ac:dyDescent="0.25">
      <c r="A4" s="13" t="s">
        <v>9</v>
      </c>
      <c r="B4" s="7">
        <v>0.78052407656589395</v>
      </c>
      <c r="C4" s="7" t="s">
        <v>6</v>
      </c>
      <c r="D4" s="7">
        <v>-39.054352397049499</v>
      </c>
      <c r="E4" s="7">
        <v>0</v>
      </c>
      <c r="F4" s="9" t="s">
        <v>7</v>
      </c>
    </row>
    <row r="5" spans="1:6" ht="19" x14ac:dyDescent="0.25">
      <c r="A5" s="13" t="s">
        <v>10</v>
      </c>
      <c r="B5" s="7">
        <v>0.30482882891732199</v>
      </c>
      <c r="C5" s="7" t="s">
        <v>6</v>
      </c>
      <c r="D5" s="7">
        <v>-37.465315451963697</v>
      </c>
      <c r="E5" s="7">
        <v>0</v>
      </c>
      <c r="F5" s="9" t="s">
        <v>7</v>
      </c>
    </row>
    <row r="6" spans="1:6" ht="19" x14ac:dyDescent="0.25">
      <c r="A6" s="13" t="s">
        <v>11</v>
      </c>
      <c r="B6" s="7">
        <v>0.60989240798337896</v>
      </c>
      <c r="C6" s="7" t="s">
        <v>6</v>
      </c>
      <c r="D6" s="7">
        <v>-37.895640696602698</v>
      </c>
      <c r="E6" s="7">
        <v>0</v>
      </c>
      <c r="F6" s="9" t="s">
        <v>7</v>
      </c>
    </row>
    <row r="7" spans="1:6" ht="19" x14ac:dyDescent="0.25">
      <c r="A7" s="13" t="s">
        <v>12</v>
      </c>
      <c r="B7" s="7">
        <v>0.67899951940707703</v>
      </c>
      <c r="C7" s="7" t="s">
        <v>6</v>
      </c>
      <c r="D7" s="7">
        <v>-18.578142338507</v>
      </c>
      <c r="E7" s="10">
        <v>2.0792454026607199E-30</v>
      </c>
      <c r="F7" s="9" t="s">
        <v>7</v>
      </c>
    </row>
    <row r="8" spans="1:6" ht="19" x14ac:dyDescent="0.25">
      <c r="A8" s="13" t="s">
        <v>13</v>
      </c>
      <c r="B8" s="7">
        <v>0.178145913054297</v>
      </c>
      <c r="C8" s="7" t="s">
        <v>6</v>
      </c>
      <c r="D8" s="7">
        <v>-40.479617673867999</v>
      </c>
      <c r="E8" s="7">
        <v>0</v>
      </c>
      <c r="F8" s="9" t="s">
        <v>7</v>
      </c>
    </row>
    <row r="9" spans="1:6" ht="19" x14ac:dyDescent="0.25">
      <c r="A9" s="13" t="s">
        <v>14</v>
      </c>
      <c r="B9" s="7">
        <v>0.62024137427189996</v>
      </c>
      <c r="C9" s="7" t="s">
        <v>6</v>
      </c>
      <c r="D9" s="7">
        <v>-38.502445068483702</v>
      </c>
      <c r="E9" s="7">
        <v>0</v>
      </c>
      <c r="F9" s="9" t="s">
        <v>7</v>
      </c>
    </row>
    <row r="10" spans="1:6" ht="19" x14ac:dyDescent="0.25">
      <c r="A10" s="13" t="s">
        <v>15</v>
      </c>
      <c r="B10" s="7">
        <v>9.5095273583758896E-2</v>
      </c>
      <c r="C10" s="7" t="s">
        <v>6</v>
      </c>
      <c r="D10" s="7">
        <v>-24.267701861715199</v>
      </c>
      <c r="E10" s="7">
        <v>0</v>
      </c>
      <c r="F10" s="9" t="s">
        <v>7</v>
      </c>
    </row>
    <row r="11" spans="1:6" ht="19" x14ac:dyDescent="0.25">
      <c r="A11" s="13" t="s">
        <v>16</v>
      </c>
      <c r="B11" s="7">
        <v>0.11197371467704199</v>
      </c>
      <c r="C11" s="7" t="s">
        <v>6</v>
      </c>
      <c r="D11" s="7">
        <v>-39.341962350394098</v>
      </c>
      <c r="E11" s="7">
        <v>0</v>
      </c>
      <c r="F11" s="9" t="s">
        <v>7</v>
      </c>
    </row>
    <row r="12" spans="1:6" ht="19" x14ac:dyDescent="0.25">
      <c r="A12" s="13" t="s">
        <v>17</v>
      </c>
      <c r="B12" s="7">
        <v>0.16266132945661699</v>
      </c>
      <c r="C12" s="7" t="s">
        <v>6</v>
      </c>
      <c r="D12" s="7">
        <v>-39.495893032309702</v>
      </c>
      <c r="E12" s="7">
        <v>0</v>
      </c>
      <c r="F12" s="9" t="s">
        <v>7</v>
      </c>
    </row>
    <row r="13" spans="1:6" ht="19" x14ac:dyDescent="0.25">
      <c r="A13" s="13" t="s">
        <v>18</v>
      </c>
      <c r="B13" s="7">
        <v>0.13436241593430101</v>
      </c>
      <c r="C13" s="7" t="s">
        <v>6</v>
      </c>
      <c r="D13" s="7">
        <v>-39.056461138808899</v>
      </c>
      <c r="E13" s="7">
        <v>0</v>
      </c>
      <c r="F13" s="9" t="s">
        <v>7</v>
      </c>
    </row>
    <row r="14" spans="1:6" ht="19" x14ac:dyDescent="0.25">
      <c r="A14" s="13" t="s">
        <v>19</v>
      </c>
      <c r="B14" s="7">
        <v>7.2780176714136599E-2</v>
      </c>
      <c r="C14" s="7" t="s">
        <v>6</v>
      </c>
      <c r="D14" s="7">
        <v>-40.318269532063802</v>
      </c>
      <c r="E14" s="7">
        <v>0</v>
      </c>
      <c r="F14" s="9" t="s">
        <v>7</v>
      </c>
    </row>
    <row r="15" spans="1:6" ht="19" x14ac:dyDescent="0.25">
      <c r="A15" s="13" t="s">
        <v>20</v>
      </c>
      <c r="B15" s="7">
        <v>0.56351502195387704</v>
      </c>
      <c r="C15" s="7" t="s">
        <v>6</v>
      </c>
      <c r="D15" s="7">
        <v>-39.631427664027903</v>
      </c>
      <c r="E15" s="7">
        <v>0</v>
      </c>
      <c r="F15" s="9" t="s">
        <v>7</v>
      </c>
    </row>
    <row r="16" spans="1:6" ht="19" x14ac:dyDescent="0.25">
      <c r="A16" s="13" t="s">
        <v>21</v>
      </c>
      <c r="B16" s="7">
        <v>0.98841579906772403</v>
      </c>
      <c r="C16" s="7" t="s">
        <v>6</v>
      </c>
      <c r="D16" s="7">
        <v>-39.339886123108798</v>
      </c>
      <c r="E16" s="7">
        <v>0</v>
      </c>
      <c r="F16" s="9" t="s">
        <v>7</v>
      </c>
    </row>
    <row r="17" spans="1:6" ht="19" x14ac:dyDescent="0.25">
      <c r="A17" s="13" t="s">
        <v>22</v>
      </c>
      <c r="B17" s="7">
        <v>0.26189009044536998</v>
      </c>
      <c r="C17" s="7" t="s">
        <v>6</v>
      </c>
      <c r="D17" s="7">
        <v>-37.558356436374197</v>
      </c>
      <c r="E17" s="7">
        <v>0</v>
      </c>
      <c r="F17" s="9" t="s">
        <v>7</v>
      </c>
    </row>
    <row r="18" spans="1:6" ht="19" x14ac:dyDescent="0.25">
      <c r="A18" s="13" t="s">
        <v>23</v>
      </c>
      <c r="B18" s="7">
        <v>8.9096716882126404E-4</v>
      </c>
      <c r="C18" s="7" t="s">
        <v>24</v>
      </c>
      <c r="D18" s="7">
        <v>-20.4789035300252</v>
      </c>
      <c r="E18" s="7">
        <v>0</v>
      </c>
      <c r="F18" s="9" t="s">
        <v>7</v>
      </c>
    </row>
    <row r="19" spans="1:6" ht="19" x14ac:dyDescent="0.25">
      <c r="A19" s="13" t="s">
        <v>25</v>
      </c>
      <c r="B19" s="7">
        <v>0.18126641494137899</v>
      </c>
      <c r="C19" s="7" t="s">
        <v>6</v>
      </c>
      <c r="D19" s="7">
        <v>-22.168528650381901</v>
      </c>
      <c r="E19" s="7">
        <v>0</v>
      </c>
      <c r="F19" s="9" t="s">
        <v>7</v>
      </c>
    </row>
    <row r="20" spans="1:6" ht="19" x14ac:dyDescent="0.25">
      <c r="A20" s="13" t="s">
        <v>26</v>
      </c>
      <c r="B20" s="7">
        <v>4.8928430410122001E-2</v>
      </c>
      <c r="C20" s="7" t="s">
        <v>24</v>
      </c>
      <c r="D20" s="7">
        <v>-19.297635966027698</v>
      </c>
      <c r="E20" s="7">
        <v>0</v>
      </c>
      <c r="F20" s="9" t="s">
        <v>7</v>
      </c>
    </row>
    <row r="21" spans="1:6" ht="19" x14ac:dyDescent="0.25">
      <c r="A21" s="13" t="s">
        <v>27</v>
      </c>
      <c r="B21" s="7">
        <v>0.22517944122623201</v>
      </c>
      <c r="C21" s="7" t="s">
        <v>6</v>
      </c>
      <c r="D21" s="7">
        <v>-39.736497076790599</v>
      </c>
      <c r="E21" s="7">
        <v>0</v>
      </c>
      <c r="F21" s="9" t="s">
        <v>7</v>
      </c>
    </row>
    <row r="22" spans="1:6" ht="19" x14ac:dyDescent="0.25">
      <c r="A22" s="13" t="s">
        <v>28</v>
      </c>
      <c r="B22" s="7">
        <v>0.18877838351696899</v>
      </c>
      <c r="C22" s="7" t="s">
        <v>6</v>
      </c>
      <c r="D22" s="7">
        <v>-39.662556557810298</v>
      </c>
      <c r="E22" s="7">
        <v>0</v>
      </c>
      <c r="F22" s="9" t="s">
        <v>7</v>
      </c>
    </row>
    <row r="23" spans="1:6" ht="19" x14ac:dyDescent="0.25">
      <c r="A23" s="13" t="s">
        <v>29</v>
      </c>
      <c r="B23" s="7">
        <v>0.166995545000475</v>
      </c>
      <c r="C23" s="7" t="s">
        <v>6</v>
      </c>
      <c r="D23" s="7">
        <v>-29.321560903740998</v>
      </c>
      <c r="E23" s="7">
        <v>0</v>
      </c>
      <c r="F23" s="9" t="s">
        <v>7</v>
      </c>
    </row>
    <row r="24" spans="1:6" ht="19" x14ac:dyDescent="0.25">
      <c r="A24" s="13" t="s">
        <v>30</v>
      </c>
      <c r="B24" s="7">
        <v>0.86436464483003494</v>
      </c>
      <c r="C24" s="7" t="s">
        <v>6</v>
      </c>
      <c r="D24" s="7">
        <v>-39.3582108245214</v>
      </c>
      <c r="E24" s="7">
        <v>0</v>
      </c>
      <c r="F24" s="9" t="s">
        <v>7</v>
      </c>
    </row>
    <row r="25" spans="1:6" ht="19" x14ac:dyDescent="0.25">
      <c r="A25" s="14" t="s">
        <v>31</v>
      </c>
      <c r="B25" s="11">
        <v>0.800278217756902</v>
      </c>
      <c r="C25" s="11" t="s">
        <v>6</v>
      </c>
      <c r="D25" s="11">
        <v>-40.483473661808397</v>
      </c>
      <c r="E25" s="11">
        <v>0</v>
      </c>
      <c r="F25" s="12" t="s">
        <v>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8C1D0-57F7-0047-857E-20405C54E607}">
  <dimension ref="A1:N31"/>
  <sheetViews>
    <sheetView topLeftCell="A5" workbookViewId="0">
      <selection activeCell="G35" sqref="G35"/>
    </sheetView>
  </sheetViews>
  <sheetFormatPr baseColWidth="10" defaultRowHeight="16" x14ac:dyDescent="0.2"/>
  <cols>
    <col min="1" max="1" width="29.33203125" bestFit="1" customWidth="1"/>
    <col min="2" max="4" width="14" bestFit="1" customWidth="1"/>
    <col min="5" max="5" width="16.1640625" bestFit="1" customWidth="1"/>
    <col min="6" max="6" width="17.6640625" bestFit="1" customWidth="1"/>
    <col min="7" max="8" width="15.1640625" bestFit="1" customWidth="1"/>
    <col min="9" max="10" width="17.6640625" bestFit="1" customWidth="1"/>
    <col min="11" max="12" width="19.33203125" bestFit="1" customWidth="1"/>
    <col min="13" max="16" width="16.6640625" bestFit="1" customWidth="1"/>
  </cols>
  <sheetData>
    <row r="1" spans="1:14" ht="22" x14ac:dyDescent="0.3">
      <c r="B1" s="2" t="s">
        <v>47</v>
      </c>
      <c r="C1" s="2"/>
      <c r="D1" s="2"/>
      <c r="E1" s="3" t="s">
        <v>48</v>
      </c>
      <c r="F1" s="3"/>
      <c r="G1" s="3"/>
      <c r="H1" s="3"/>
      <c r="I1" s="3"/>
      <c r="J1" s="4" t="s">
        <v>49</v>
      </c>
      <c r="K1" s="4"/>
      <c r="L1" s="4"/>
      <c r="M1" s="4"/>
      <c r="N1" s="4"/>
    </row>
    <row r="2" spans="1:14" ht="22" x14ac:dyDescent="0.3">
      <c r="A2" s="1" t="s">
        <v>46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42</v>
      </c>
      <c r="H2" s="1" t="s">
        <v>43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44</v>
      </c>
      <c r="N2" s="1" t="s">
        <v>45</v>
      </c>
    </row>
    <row r="3" spans="1:14" ht="19" x14ac:dyDescent="0.25">
      <c r="A3" s="8" t="s">
        <v>5</v>
      </c>
      <c r="B3" s="7">
        <v>594110.75995500898</v>
      </c>
      <c r="C3" s="7">
        <v>714646.16375777498</v>
      </c>
      <c r="D3" s="7">
        <v>126.338350493078</v>
      </c>
      <c r="E3" s="7">
        <v>549034.03053095599</v>
      </c>
      <c r="F3" s="7">
        <v>687752.62744875601</v>
      </c>
      <c r="G3" s="7">
        <v>38594.093975047297</v>
      </c>
      <c r="H3" s="7">
        <v>38609.5788410561</v>
      </c>
      <c r="I3" s="7">
        <v>132.118481956652</v>
      </c>
      <c r="J3" s="7">
        <v>549165.18516281398</v>
      </c>
      <c r="K3" s="7">
        <v>675428.946724965</v>
      </c>
      <c r="L3" s="7">
        <v>124.07759875518801</v>
      </c>
      <c r="M3" s="7">
        <v>38547.725018623198</v>
      </c>
      <c r="N3" s="7">
        <v>38568.371506634998</v>
      </c>
    </row>
    <row r="4" spans="1:14" ht="19" x14ac:dyDescent="0.25">
      <c r="A4" s="8" t="s">
        <v>8</v>
      </c>
      <c r="B4" s="7">
        <v>577409.64721435495</v>
      </c>
      <c r="C4" s="7">
        <v>719813.06528924103</v>
      </c>
      <c r="D4" s="7">
        <v>113.30571522113701</v>
      </c>
      <c r="E4" s="7">
        <v>567087.726919921</v>
      </c>
      <c r="F4" s="7">
        <v>696623.18159177003</v>
      </c>
      <c r="G4" s="7">
        <v>37031.6660524576</v>
      </c>
      <c r="H4" s="7">
        <v>37047.034652433402</v>
      </c>
      <c r="I4" s="7">
        <v>143.387618624358</v>
      </c>
      <c r="J4" s="7">
        <v>568783.43057236099</v>
      </c>
      <c r="K4" s="7">
        <v>698710.99096994603</v>
      </c>
      <c r="L4" s="7">
        <v>145.19516144249999</v>
      </c>
      <c r="M4" s="7">
        <v>36964.519747501203</v>
      </c>
      <c r="N4" s="7">
        <v>36985.0112141356</v>
      </c>
    </row>
    <row r="5" spans="1:14" ht="19" x14ac:dyDescent="0.25">
      <c r="A5" s="8" t="s">
        <v>9</v>
      </c>
      <c r="B5" s="7">
        <v>531737.51978896104</v>
      </c>
      <c r="C5" s="7">
        <v>654757.67590076395</v>
      </c>
      <c r="D5" s="7">
        <v>116.866593594165</v>
      </c>
      <c r="E5" s="7">
        <v>581212.69502240606</v>
      </c>
      <c r="F5" s="7">
        <v>705091.22172232997</v>
      </c>
      <c r="G5" s="7">
        <v>38200.625910847302</v>
      </c>
      <c r="H5" s="7">
        <v>38216.078015220097</v>
      </c>
      <c r="I5" s="7">
        <v>163.89393661374899</v>
      </c>
      <c r="J5" s="7">
        <v>563350.912934897</v>
      </c>
      <c r="K5" s="7">
        <v>677891.96605028003</v>
      </c>
      <c r="L5" s="7">
        <v>156.91707651142499</v>
      </c>
      <c r="M5" s="7">
        <v>38133.795996816101</v>
      </c>
      <c r="N5" s="7">
        <v>38154.398802646501</v>
      </c>
    </row>
    <row r="6" spans="1:14" ht="19" x14ac:dyDescent="0.25">
      <c r="A6" s="8" t="s">
        <v>10</v>
      </c>
      <c r="B6" s="7">
        <v>588858.62250000006</v>
      </c>
      <c r="C6" s="7">
        <v>711509.05954979802</v>
      </c>
      <c r="D6" s="7">
        <v>121.43238464008201</v>
      </c>
      <c r="E6" s="7">
        <v>576222.22691701201</v>
      </c>
      <c r="F6" s="7">
        <v>669700.20494757302</v>
      </c>
      <c r="G6" s="7">
        <v>38410.511600336999</v>
      </c>
      <c r="H6" s="7">
        <v>38425.987142329002</v>
      </c>
      <c r="I6" s="7">
        <v>146.00478063250799</v>
      </c>
      <c r="J6" s="7">
        <v>596416.38665454497</v>
      </c>
      <c r="K6" s="7">
        <v>687035.79754724004</v>
      </c>
      <c r="L6" s="7">
        <v>154.539913756099</v>
      </c>
      <c r="M6" s="7">
        <v>38390.872909037404</v>
      </c>
      <c r="N6" s="7">
        <v>38411.506965026703</v>
      </c>
    </row>
    <row r="7" spans="1:14" ht="19" x14ac:dyDescent="0.25">
      <c r="A7" s="8" t="s">
        <v>11</v>
      </c>
      <c r="B7" s="7">
        <v>595668.23160138202</v>
      </c>
      <c r="C7" s="7">
        <v>740145.06862460996</v>
      </c>
      <c r="D7" s="7">
        <v>155.59384930349299</v>
      </c>
      <c r="E7" s="7">
        <v>702760.08059269795</v>
      </c>
      <c r="F7" s="7">
        <v>868572.98593986104</v>
      </c>
      <c r="G7" s="7">
        <v>38740.638395711998</v>
      </c>
      <c r="H7" s="7">
        <v>38756.139509342698</v>
      </c>
      <c r="I7" s="7">
        <v>246.61885578064499</v>
      </c>
      <c r="J7" s="7">
        <v>651194.13533096097</v>
      </c>
      <c r="K7" s="7">
        <v>800684.88403283397</v>
      </c>
      <c r="L7" s="7">
        <v>225.766703240091</v>
      </c>
      <c r="M7" s="7">
        <v>38716.373052726303</v>
      </c>
      <c r="N7" s="7">
        <v>38737.041204234003</v>
      </c>
    </row>
    <row r="8" spans="1:14" ht="19" x14ac:dyDescent="0.25">
      <c r="A8" s="8" t="s">
        <v>12</v>
      </c>
      <c r="B8" s="7">
        <v>603528.21261363605</v>
      </c>
      <c r="C8" s="7">
        <v>722110.53491988196</v>
      </c>
      <c r="D8" s="7">
        <v>111.502693537224</v>
      </c>
      <c r="E8" s="7">
        <v>1074947.42587186</v>
      </c>
      <c r="F8" s="7">
        <v>1210169.10709951</v>
      </c>
      <c r="G8" s="7">
        <v>38604.549319429199</v>
      </c>
      <c r="H8" s="7">
        <v>38620.029527052</v>
      </c>
      <c r="I8" s="7">
        <v>254.52078244177201</v>
      </c>
      <c r="J8" s="7">
        <v>956997.07996671705</v>
      </c>
      <c r="K8" s="7">
        <v>1104586.09378877</v>
      </c>
      <c r="L8" s="7">
        <v>233.52177850904201</v>
      </c>
      <c r="M8" s="7">
        <v>38576.360789226899</v>
      </c>
      <c r="N8" s="7">
        <v>38597.001066057201</v>
      </c>
    </row>
    <row r="9" spans="1:14" ht="19" x14ac:dyDescent="0.25">
      <c r="A9" s="8" t="s">
        <v>13</v>
      </c>
      <c r="B9" s="7">
        <v>564982.66862021096</v>
      </c>
      <c r="C9" s="7">
        <v>688068.53825090895</v>
      </c>
      <c r="D9" s="7">
        <v>113.983863411803</v>
      </c>
      <c r="E9" s="7">
        <v>708404.672849947</v>
      </c>
      <c r="F9" s="7">
        <v>869345.53986413602</v>
      </c>
      <c r="G9" s="7">
        <v>38714.8813214447</v>
      </c>
      <c r="H9" s="7">
        <v>38730.384748997698</v>
      </c>
      <c r="I9" s="7">
        <v>197.72888973195799</v>
      </c>
      <c r="J9" s="7">
        <v>770802.13003911695</v>
      </c>
      <c r="K9" s="7">
        <v>922149.85403272498</v>
      </c>
      <c r="L9" s="7">
        <v>211.61603464511401</v>
      </c>
      <c r="M9" s="7">
        <v>38657.320626813103</v>
      </c>
      <c r="N9" s="7">
        <v>38677.991863550298</v>
      </c>
    </row>
    <row r="10" spans="1:14" ht="19" x14ac:dyDescent="0.25">
      <c r="A10" s="8" t="s">
        <v>14</v>
      </c>
      <c r="B10" s="7">
        <v>592208.75064024399</v>
      </c>
      <c r="C10" s="7">
        <v>731725.55902779102</v>
      </c>
      <c r="D10" s="7">
        <v>115.199028277254</v>
      </c>
      <c r="E10" s="7">
        <v>494120.63927055598</v>
      </c>
      <c r="F10" s="7">
        <v>588384.14323523</v>
      </c>
      <c r="G10" s="7">
        <v>38306.571964001203</v>
      </c>
      <c r="H10" s="7">
        <v>38322.035810071902</v>
      </c>
      <c r="I10" s="7">
        <v>121.973981073945</v>
      </c>
      <c r="J10" s="7">
        <v>484208.24000643601</v>
      </c>
      <c r="K10" s="7">
        <v>575478.19872240105</v>
      </c>
      <c r="L10" s="7">
        <v>116.86324862231299</v>
      </c>
      <c r="M10" s="7">
        <v>38261.957291713697</v>
      </c>
      <c r="N10" s="7">
        <v>38282.575753141398</v>
      </c>
    </row>
    <row r="11" spans="1:14" ht="19" x14ac:dyDescent="0.25">
      <c r="A11" s="8" t="s">
        <v>15</v>
      </c>
      <c r="B11" s="7">
        <v>565618.56707552006</v>
      </c>
      <c r="C11" s="7">
        <v>682220.12903920095</v>
      </c>
      <c r="D11" s="7">
        <v>124.149001998641</v>
      </c>
      <c r="E11" s="7">
        <v>516614.675402547</v>
      </c>
      <c r="F11" s="7">
        <v>616059.54486901197</v>
      </c>
      <c r="G11" s="7">
        <v>37865.857983782902</v>
      </c>
      <c r="H11" s="7">
        <v>37881.276964790799</v>
      </c>
      <c r="I11" s="7">
        <v>127.887524398994</v>
      </c>
      <c r="J11" s="7">
        <v>520609.52197811898</v>
      </c>
      <c r="K11" s="7">
        <v>613632.88344004995</v>
      </c>
      <c r="L11" s="7">
        <v>125.928183257737</v>
      </c>
      <c r="M11" s="7">
        <v>37805.5004027658</v>
      </c>
      <c r="N11" s="7">
        <v>37826.059044109599</v>
      </c>
    </row>
    <row r="12" spans="1:14" ht="19" x14ac:dyDescent="0.25">
      <c r="A12" s="8" t="s">
        <v>16</v>
      </c>
      <c r="B12" s="7">
        <v>535349.564447916</v>
      </c>
      <c r="C12" s="7">
        <v>659892.69769346598</v>
      </c>
      <c r="D12" s="7">
        <v>112.77752206287001</v>
      </c>
      <c r="E12" s="7">
        <v>565118.37272976397</v>
      </c>
      <c r="F12" s="7">
        <v>681537.91259736801</v>
      </c>
      <c r="G12" s="7">
        <v>38587.066302051397</v>
      </c>
      <c r="H12" s="7">
        <v>38602.565099973799</v>
      </c>
      <c r="I12" s="7">
        <v>88.422394595536005</v>
      </c>
      <c r="J12" s="7">
        <v>557011.03024155297</v>
      </c>
      <c r="K12" s="7">
        <v>665503.98054515698</v>
      </c>
      <c r="L12" s="7">
        <v>90.281761538676804</v>
      </c>
      <c r="M12" s="7">
        <v>38565.375864437403</v>
      </c>
      <c r="N12" s="7">
        <v>38586.040928333998</v>
      </c>
    </row>
    <row r="13" spans="1:14" ht="19" x14ac:dyDescent="0.25">
      <c r="A13" s="8" t="s">
        <v>17</v>
      </c>
      <c r="B13" s="7">
        <v>569563.53661372897</v>
      </c>
      <c r="C13" s="7">
        <v>712443.33888922096</v>
      </c>
      <c r="D13" s="7">
        <v>103.599605742843</v>
      </c>
      <c r="E13" s="7">
        <v>599529.58703012695</v>
      </c>
      <c r="F13" s="7">
        <v>752207.539937897</v>
      </c>
      <c r="G13" s="7">
        <v>38882.199137399803</v>
      </c>
      <c r="H13" s="7">
        <v>38897.711802835402</v>
      </c>
      <c r="I13" s="7">
        <v>149.45599227916301</v>
      </c>
      <c r="J13" s="7">
        <v>632957.33582884003</v>
      </c>
      <c r="K13" s="7">
        <v>779286.44753322797</v>
      </c>
      <c r="L13" s="7">
        <v>157.51686428908499</v>
      </c>
      <c r="M13" s="7">
        <v>38813.373529054101</v>
      </c>
      <c r="N13" s="7">
        <v>38834.057082968196</v>
      </c>
    </row>
    <row r="14" spans="1:14" ht="19" x14ac:dyDescent="0.25">
      <c r="A14" s="8" t="s">
        <v>18</v>
      </c>
      <c r="B14" s="7">
        <v>578267.55658423901</v>
      </c>
      <c r="C14" s="7">
        <v>703266.25503655302</v>
      </c>
      <c r="D14" s="7">
        <v>161.90713737355199</v>
      </c>
      <c r="E14" s="7">
        <v>529583.44156665599</v>
      </c>
      <c r="F14" s="7">
        <v>648793.84306549304</v>
      </c>
      <c r="G14" s="7">
        <v>37989.1061460286</v>
      </c>
      <c r="H14" s="7">
        <v>38004.555896537</v>
      </c>
      <c r="I14" s="7">
        <v>149.46901191587</v>
      </c>
      <c r="J14" s="7">
        <v>533175.52519727801</v>
      </c>
      <c r="K14" s="7">
        <v>638338.21325462195</v>
      </c>
      <c r="L14" s="7">
        <v>142.05862437038201</v>
      </c>
      <c r="M14" s="7">
        <v>37956.983444629303</v>
      </c>
      <c r="N14" s="7">
        <v>37977.583111973901</v>
      </c>
    </row>
    <row r="15" spans="1:14" ht="19" x14ac:dyDescent="0.25">
      <c r="A15" s="8" t="s">
        <v>19</v>
      </c>
      <c r="B15" s="7">
        <v>622281.12618792395</v>
      </c>
      <c r="C15" s="7">
        <v>775143.081214946</v>
      </c>
      <c r="D15" s="7">
        <v>182.21416461469701</v>
      </c>
      <c r="E15" s="7">
        <v>602185.58884672797</v>
      </c>
      <c r="F15" s="7">
        <v>742722.33338140999</v>
      </c>
      <c r="G15" s="7">
        <v>39242.185135829699</v>
      </c>
      <c r="H15" s="7">
        <v>39257.727629426801</v>
      </c>
      <c r="I15" s="7">
        <v>211.66685060394599</v>
      </c>
      <c r="J15" s="7">
        <v>586146.37790114805</v>
      </c>
      <c r="K15" s="7">
        <v>713678.96580678504</v>
      </c>
      <c r="L15" s="7">
        <v>197.082576399461</v>
      </c>
      <c r="M15" s="7">
        <v>39186.058703795301</v>
      </c>
      <c r="N15" s="7">
        <v>39206.7820285915</v>
      </c>
    </row>
    <row r="16" spans="1:14" ht="19" x14ac:dyDescent="0.25">
      <c r="A16" s="8" t="s">
        <v>20</v>
      </c>
      <c r="B16" s="7">
        <v>573833.24094132602</v>
      </c>
      <c r="C16" s="7">
        <v>703573.47860159597</v>
      </c>
      <c r="D16" s="7">
        <v>112.910448436753</v>
      </c>
      <c r="E16" s="7">
        <v>545945.48959122098</v>
      </c>
      <c r="F16" s="7">
        <v>659883.50317806494</v>
      </c>
      <c r="G16" s="7">
        <v>39673.418514370198</v>
      </c>
      <c r="H16" s="7">
        <v>39688.992802360299</v>
      </c>
      <c r="I16" s="7">
        <v>112.689254236439</v>
      </c>
      <c r="J16" s="7">
        <v>556046.293623743</v>
      </c>
      <c r="K16" s="7">
        <v>662289.01140191499</v>
      </c>
      <c r="L16" s="7">
        <v>105.209334363428</v>
      </c>
      <c r="M16" s="7">
        <v>39627.086459518701</v>
      </c>
      <c r="N16" s="7">
        <v>39647.852176838896</v>
      </c>
    </row>
    <row r="17" spans="1:14" ht="19" x14ac:dyDescent="0.25">
      <c r="A17" s="8" t="s">
        <v>21</v>
      </c>
      <c r="B17" s="7">
        <v>566240.60161111096</v>
      </c>
      <c r="C17" s="7">
        <v>698426.35646020202</v>
      </c>
      <c r="D17" s="7">
        <v>156.13360667111499</v>
      </c>
      <c r="E17" s="7">
        <v>550120.42001772602</v>
      </c>
      <c r="F17" s="7">
        <v>671977.20617792197</v>
      </c>
      <c r="G17" s="7">
        <v>37915.119050113099</v>
      </c>
      <c r="H17" s="7">
        <v>37930.559366651498</v>
      </c>
      <c r="I17" s="7">
        <v>178.26350878285501</v>
      </c>
      <c r="J17" s="7">
        <v>541531.25181579206</v>
      </c>
      <c r="K17" s="7">
        <v>646969.97290828102</v>
      </c>
      <c r="L17" s="7">
        <v>163.081618979627</v>
      </c>
      <c r="M17" s="7">
        <v>37862.153954350302</v>
      </c>
      <c r="N17" s="7">
        <v>37882.741043068097</v>
      </c>
    </row>
    <row r="18" spans="1:14" ht="19" x14ac:dyDescent="0.25">
      <c r="A18" s="8" t="s">
        <v>22</v>
      </c>
      <c r="B18" s="7">
        <v>585321.43625000003</v>
      </c>
      <c r="C18" s="7">
        <v>725989.491065279</v>
      </c>
      <c r="D18" s="7">
        <v>122.607814616678</v>
      </c>
      <c r="E18" s="7">
        <v>708013.249449856</v>
      </c>
      <c r="F18" s="7">
        <v>893635.09999614197</v>
      </c>
      <c r="G18" s="7">
        <v>37102.8821497557</v>
      </c>
      <c r="H18" s="7">
        <v>37118.257999030298</v>
      </c>
      <c r="I18" s="7">
        <v>75.009416607005903</v>
      </c>
      <c r="J18" s="7">
        <v>693751.80597621703</v>
      </c>
      <c r="K18" s="7">
        <v>867211.08235509705</v>
      </c>
      <c r="L18" s="7">
        <v>76.328524983262596</v>
      </c>
      <c r="M18" s="7">
        <v>37074.887746387198</v>
      </c>
      <c r="N18" s="7">
        <v>37095.3888787533</v>
      </c>
    </row>
    <row r="19" spans="1:14" ht="19" x14ac:dyDescent="0.25">
      <c r="A19" s="8" t="s">
        <v>23</v>
      </c>
      <c r="B19" s="7">
        <v>609025.29398206703</v>
      </c>
      <c r="C19" s="7">
        <v>748367.60537967004</v>
      </c>
      <c r="D19" s="7">
        <v>137.882564931861</v>
      </c>
      <c r="E19" s="7">
        <v>551138.49932877102</v>
      </c>
      <c r="F19" s="7">
        <v>691090.27710126399</v>
      </c>
      <c r="G19" s="7">
        <v>38263.229721888303</v>
      </c>
      <c r="H19" s="7">
        <v>38278.700590982102</v>
      </c>
      <c r="I19" s="7">
        <v>110.009136251502</v>
      </c>
      <c r="J19" s="7">
        <v>569120.61221974099</v>
      </c>
      <c r="K19" s="7">
        <v>708987.071307951</v>
      </c>
      <c r="L19" s="7">
        <v>103.77628271923</v>
      </c>
      <c r="M19" s="7">
        <v>38211.4833380079</v>
      </c>
      <c r="N19" s="7">
        <v>38232.111163466398</v>
      </c>
    </row>
    <row r="20" spans="1:14" ht="19" x14ac:dyDescent="0.25">
      <c r="A20" s="8" t="s">
        <v>25</v>
      </c>
      <c r="B20" s="7">
        <v>538063.63323913002</v>
      </c>
      <c r="C20" s="7">
        <v>647780.49708274903</v>
      </c>
      <c r="D20" s="7">
        <v>130.48456033469</v>
      </c>
      <c r="E20" s="7">
        <v>530484.72654096095</v>
      </c>
      <c r="F20" s="7">
        <v>622037.47659454402</v>
      </c>
      <c r="G20" s="7">
        <v>38966.1631640122</v>
      </c>
      <c r="H20" s="7">
        <v>38981.687336941701</v>
      </c>
      <c r="I20" s="7">
        <v>157.69998437209</v>
      </c>
      <c r="J20" s="7">
        <v>519065.68151055498</v>
      </c>
      <c r="K20" s="7">
        <v>604908.01644328097</v>
      </c>
      <c r="L20" s="7">
        <v>147.11549585879399</v>
      </c>
      <c r="M20" s="7">
        <v>38943.8626586502</v>
      </c>
      <c r="N20" s="7">
        <v>38964.561555889602</v>
      </c>
    </row>
    <row r="21" spans="1:14" ht="19" x14ac:dyDescent="0.25">
      <c r="A21" s="8" t="s">
        <v>26</v>
      </c>
      <c r="B21" s="7">
        <v>543880.90016249998</v>
      </c>
      <c r="C21" s="7">
        <v>661778.76922106498</v>
      </c>
      <c r="D21" s="7">
        <v>125.10773689197001</v>
      </c>
      <c r="E21" s="7">
        <v>566283.41738113505</v>
      </c>
      <c r="F21" s="7">
        <v>699872.54179775598</v>
      </c>
      <c r="G21" s="7">
        <v>37979.677518697303</v>
      </c>
      <c r="H21" s="7">
        <v>37995.117835235702</v>
      </c>
      <c r="I21" s="7">
        <v>99.304161815930897</v>
      </c>
      <c r="J21" s="7">
        <v>597768.61354619102</v>
      </c>
      <c r="K21" s="7">
        <v>738514.29323895997</v>
      </c>
      <c r="L21" s="7">
        <v>88.782705838344597</v>
      </c>
      <c r="M21" s="7">
        <v>37932.088324048098</v>
      </c>
      <c r="N21" s="7">
        <v>37952.675412765901</v>
      </c>
    </row>
    <row r="22" spans="1:14" ht="19" x14ac:dyDescent="0.25">
      <c r="A22" s="8" t="s">
        <v>27</v>
      </c>
      <c r="B22" s="7">
        <v>612379.99928333296</v>
      </c>
      <c r="C22" s="7">
        <v>742228.16553556104</v>
      </c>
      <c r="D22" s="7">
        <v>129.30171617609</v>
      </c>
      <c r="E22" s="7">
        <v>538162.34582367796</v>
      </c>
      <c r="F22" s="7">
        <v>655198.83298394503</v>
      </c>
      <c r="G22" s="7">
        <v>38083.0480028772</v>
      </c>
      <c r="H22" s="7">
        <v>38098.4930401089</v>
      </c>
      <c r="I22" s="7">
        <v>109.61010651990701</v>
      </c>
      <c r="J22" s="7">
        <v>543495.55635546299</v>
      </c>
      <c r="K22" s="7">
        <v>658198.730937329</v>
      </c>
      <c r="L22" s="7">
        <v>104.15727092329401</v>
      </c>
      <c r="M22" s="7">
        <v>38020.9353170178</v>
      </c>
      <c r="N22" s="7">
        <v>38041.528699993403</v>
      </c>
    </row>
    <row r="23" spans="1:14" ht="19" x14ac:dyDescent="0.25">
      <c r="A23" s="8" t="s">
        <v>28</v>
      </c>
      <c r="B23" s="7">
        <v>547293.78018601099</v>
      </c>
      <c r="C23" s="7">
        <v>680019.83685752901</v>
      </c>
      <c r="D23" s="7">
        <v>115.51363220753601</v>
      </c>
      <c r="E23" s="7">
        <v>538544.79814532399</v>
      </c>
      <c r="F23" s="7">
        <v>678216.02334209904</v>
      </c>
      <c r="G23" s="7">
        <v>38170.910245824998</v>
      </c>
      <c r="H23" s="7">
        <v>38186.369400729898</v>
      </c>
      <c r="I23" s="7">
        <v>90.064650033900605</v>
      </c>
      <c r="J23" s="7">
        <v>502867.27249259898</v>
      </c>
      <c r="K23" s="7">
        <v>617084.64731919905</v>
      </c>
      <c r="L23" s="7">
        <v>99.958525005229703</v>
      </c>
      <c r="M23" s="7">
        <v>38131.676969103901</v>
      </c>
      <c r="N23" s="7">
        <v>38152.2891756436</v>
      </c>
    </row>
    <row r="24" spans="1:14" ht="19" x14ac:dyDescent="0.25">
      <c r="A24" s="8" t="s">
        <v>29</v>
      </c>
      <c r="B24" s="7">
        <v>520143.43217811099</v>
      </c>
      <c r="C24" s="7">
        <v>656433.15381209902</v>
      </c>
      <c r="D24" s="7">
        <v>126.185874938262</v>
      </c>
      <c r="E24" s="7">
        <v>517518.14977873501</v>
      </c>
      <c r="F24" s="7">
        <v>647889.57392332098</v>
      </c>
      <c r="G24" s="7">
        <v>38194.752606220703</v>
      </c>
      <c r="H24" s="7">
        <v>38210.214107625397</v>
      </c>
      <c r="I24" s="7">
        <v>134.59579183666801</v>
      </c>
      <c r="J24" s="7">
        <v>502103.52315053903</v>
      </c>
      <c r="K24" s="7">
        <v>618174.86460915895</v>
      </c>
      <c r="L24" s="7">
        <v>126.445953132176</v>
      </c>
      <c r="M24" s="7">
        <v>38153.550362695998</v>
      </c>
      <c r="N24" s="7">
        <v>38174.165697902303</v>
      </c>
    </row>
    <row r="25" spans="1:14" ht="19" x14ac:dyDescent="0.25">
      <c r="A25" s="8" t="s">
        <v>30</v>
      </c>
      <c r="B25" s="7">
        <v>555827.18706407503</v>
      </c>
      <c r="C25" s="7">
        <v>680394.08493136195</v>
      </c>
      <c r="D25" s="7">
        <v>131.840197745133</v>
      </c>
      <c r="E25" s="7">
        <v>511224.57930272602</v>
      </c>
      <c r="F25" s="7">
        <v>620462.42879096803</v>
      </c>
      <c r="G25" s="7">
        <v>39201.3729961477</v>
      </c>
      <c r="H25" s="7">
        <v>39216.9063433962</v>
      </c>
      <c r="I25" s="7">
        <v>128.15684055122901</v>
      </c>
      <c r="J25" s="7">
        <v>503052.89752516098</v>
      </c>
      <c r="K25" s="7">
        <v>606366.10881939705</v>
      </c>
      <c r="L25" s="7">
        <v>118.90288872061301</v>
      </c>
      <c r="M25" s="7">
        <v>39171.096631185901</v>
      </c>
      <c r="N25" s="7">
        <v>39191.807760850701</v>
      </c>
    </row>
    <row r="26" spans="1:14" ht="19" x14ac:dyDescent="0.25">
      <c r="A26" s="8" t="s">
        <v>31</v>
      </c>
      <c r="B26" s="7">
        <v>570025.84089133504</v>
      </c>
      <c r="C26" s="7">
        <v>711227.80543086003</v>
      </c>
      <c r="D26" s="7">
        <v>150.424259903728</v>
      </c>
      <c r="E26" s="7">
        <v>544095.62857456994</v>
      </c>
      <c r="F26" s="7">
        <v>675751.89236745704</v>
      </c>
      <c r="G26" s="7">
        <v>38668.872139590298</v>
      </c>
      <c r="H26" s="7">
        <v>38684.3663007266</v>
      </c>
      <c r="I26" s="7">
        <v>145.16730051430301</v>
      </c>
      <c r="J26" s="7">
        <v>547985.96471850597</v>
      </c>
      <c r="K26" s="7">
        <v>665521.07955603604</v>
      </c>
      <c r="L26" s="7">
        <v>129.30317744180601</v>
      </c>
      <c r="M26" s="7">
        <v>38607.764351370301</v>
      </c>
      <c r="N26" s="7">
        <v>38628.423232885398</v>
      </c>
    </row>
    <row r="27" spans="1:14" ht="19" x14ac:dyDescent="0.25">
      <c r="A27" s="6" t="s">
        <v>53</v>
      </c>
      <c r="B27" s="7">
        <f>AVERAGE(B3:B26)</f>
        <v>572567.5045680051</v>
      </c>
      <c r="C27" s="7">
        <f t="shared" ref="C27:N27" si="0">AVERAGE(C3:C26)</f>
        <v>702998.35048217222</v>
      </c>
      <c r="D27" s="7">
        <f t="shared" si="0"/>
        <v>129.0525967968606</v>
      </c>
      <c r="E27" s="7">
        <f t="shared" si="0"/>
        <v>590348.01947857847</v>
      </c>
      <c r="F27" s="7">
        <f t="shared" si="0"/>
        <v>718873.96008140955</v>
      </c>
      <c r="G27" s="7">
        <f t="shared" si="0"/>
        <v>38391.224973077777</v>
      </c>
      <c r="H27" s="7">
        <f t="shared" si="0"/>
        <v>38406.698781827297</v>
      </c>
      <c r="I27" s="7">
        <f t="shared" si="0"/>
        <v>144.73830217378855</v>
      </c>
      <c r="J27" s="7">
        <f t="shared" si="0"/>
        <v>585316.94853122055</v>
      </c>
      <c r="K27" s="7">
        <f t="shared" si="0"/>
        <v>706109.67088940029</v>
      </c>
      <c r="L27" s="7">
        <f t="shared" si="0"/>
        <v>139.35113763762158</v>
      </c>
      <c r="M27" s="7">
        <f t="shared" si="0"/>
        <v>38346.366812061497</v>
      </c>
      <c r="N27" s="7">
        <f t="shared" si="0"/>
        <v>38366.998557060891</v>
      </c>
    </row>
    <row r="29" spans="1:14" x14ac:dyDescent="0.2">
      <c r="A29" s="5" t="s">
        <v>52</v>
      </c>
    </row>
    <row r="30" spans="1:14" x14ac:dyDescent="0.2">
      <c r="A30">
        <v>1</v>
      </c>
      <c r="B30">
        <v>2</v>
      </c>
      <c r="C30">
        <v>3</v>
      </c>
      <c r="D30">
        <v>4</v>
      </c>
      <c r="E30">
        <v>5</v>
      </c>
    </row>
    <row r="31" spans="1:14" x14ac:dyDescent="0.2">
      <c r="A31" s="5" t="s">
        <v>50</v>
      </c>
      <c r="B31" s="5"/>
      <c r="C31" s="5"/>
      <c r="D31" s="5"/>
      <c r="E31" s="5" t="s">
        <v>51</v>
      </c>
    </row>
  </sheetData>
  <mergeCells count="3">
    <mergeCell ref="B1:D1"/>
    <mergeCell ref="E1:I1"/>
    <mergeCell ref="J1:N1"/>
  </mergeCells>
  <conditionalFormatting sqref="B3:B27 C27:N27">
    <cfRule type="colorScale" priority="15">
      <colorScale>
        <cfvo type="min"/>
        <cfvo type="max"/>
        <color rgb="FFFCFCFF"/>
        <color rgb="FF63BE7B"/>
      </colorScale>
    </cfRule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2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:D2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30:E3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E2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F2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2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2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2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2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K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:L2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M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:N2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Hetarth Patel</dc:creator>
  <cp:lastModifiedBy>Hetarth Patel</cp:lastModifiedBy>
  <dcterms:created xsi:type="dcterms:W3CDTF">2025-09-28T23:31:31Z</dcterms:created>
  <dcterms:modified xsi:type="dcterms:W3CDTF">2025-09-29T01:15:50Z</dcterms:modified>
</cp:coreProperties>
</file>